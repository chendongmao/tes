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<sst xmlns="http://schemas.openxmlformats.org/spreadsheetml/2006/main" count="21" uniqueCount="18">
  <si>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设备类型</t>
  </si>
  <si>
    <t>设备数量</t>
  </si>
  <si>
    <t>设备传感器数量</t>
  </si>
  <si>
    <t>传感器总数量</t>
  </si>
  <si>
    <t>对接频率</t>
  </si>
  <si>
    <t>1天数据抽取次数</t>
  </si>
  <si>
    <t>1天抽取数据量(条)</t>
  </si>
  <si>
    <t>1年抽取数据量(条)</t>
  </si>
  <si>
    <t>1条数据占用存储空间(B)</t>
  </si>
  <si>
    <t>1天数据占用存储空间(MB)</t>
  </si>
  <si>
    <t>1年数据占用存储空间(GB)</t>
  </si>
  <si>
    <t>水质</t>
  </si>
  <si>
    <t>每5分钟</t>
  </si>
  <si>
    <t>引水渠水位</t>
  </si>
  <si>
    <t>每15分钟</t>
  </si>
  <si>
    <t>引水渠摄像头</t>
  </si>
  <si>
    <t>INMS Logger</t>
  </si>
  <si>
    <t>智能水表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</si>
</sst>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zoomScale="175" zoomScaleNormal="175" workbookViewId="0">
      <selection activeCell="K6" sqref="K6"/>
    </sheetView>
  </sheetViews>
  <sheetFormatPr defaultColWidth="9" defaultRowHeight="13.5" outlineLevelRow="5"/>
  <cols>
    <col min="1" max="1" width="16.4916666666667" customWidth="1"/>
    <col min="2" max="2" width="10.5" customWidth="1"/>
    <col min="3" max="4" width="8.425" customWidth="1"/>
    <col min="5" max="5" width="9.56666666666667" customWidth="1"/>
    <col min="6" max="6" width="10.1416666666667" customWidth="1"/>
    <col min="7" max="7" width="12.2833333333333" customWidth="1"/>
    <col min="8" max="8" width="13.0666666666667" customWidth="1"/>
    <col min="9" max="9" width="12.35" customWidth="1"/>
    <col min="10" max="10" width="12.7083333333333" customWidth="1"/>
    <col min="11" max="11" width="14.6416666666667" customWidth="1"/>
  </cols>
  <sheetData>
    <row r="1" s="1" customFormat="1" ht="27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>
        <v>40</v>
      </c>
      <c r="C2" s="3">
        <v>10</v>
      </c>
      <c r="D2" s="3">
        <v>400</v>
      </c>
      <c r="E2" s="3" t="s">
        <v>12</v>
      </c>
      <c r="F2" s="3">
        <v>288</v>
      </c>
      <c r="G2" s="3">
        <f t="shared" ref="G2:G6" si="0">D2*F2</f>
        <v>115200</v>
      </c>
      <c r="H2" s="3">
        <f>G2*365</f>
        <v>42048000</v>
      </c>
      <c r="I2" s="3">
        <v>139</v>
      </c>
      <c r="J2" s="3">
        <f t="shared" ref="J2:J6" si="1">(G2*I2)/(1024*1024)</f>
        <v>15.27099609375</v>
      </c>
      <c r="K2" s="3">
        <f t="shared" ref="K2:K6" si="2">(H2*I2)/(1024*1024*1024)</f>
        <v>5.443274974823</v>
      </c>
    </row>
    <row r="3" spans="1:11">
      <c r="A3" s="3" t="s">
        <v>13</v>
      </c>
      <c r="B3" s="3">
        <v>29</v>
      </c>
      <c r="C3" s="3">
        <v>1</v>
      </c>
      <c r="D3" s="3">
        <v>29</v>
      </c>
      <c r="E3" s="3" t="s">
        <v>14</v>
      </c>
      <c r="F3" s="3">
        <v>96</v>
      </c>
      <c r="G3" s="3">
        <f t="shared" si="0"/>
        <v>2784</v>
      </c>
      <c r="H3" s="3">
        <f t="shared" ref="H2:H6" si="3">G3*365</f>
        <v>1016160</v>
      </c>
      <c r="I3" s="3">
        <v>139</v>
      </c>
      <c r="J3" s="3">
        <f t="shared" si="1"/>
        <v>0.369049072265625</v>
      </c>
      <c r="K3" s="3">
        <f t="shared" si="2"/>
        <v>0.131545811891556</v>
      </c>
    </row>
    <row r="4" spans="1:11">
      <c r="A4" s="3" t="s">
        <v>15</v>
      </c>
      <c r="B4" s="3">
        <v>25</v>
      </c>
      <c r="C4" s="3">
        <v>1</v>
      </c>
      <c r="D4" s="3">
        <v>25</v>
      </c>
      <c r="E4" s="3" t="s">
        <v>14</v>
      </c>
      <c r="F4" s="3">
        <v>96</v>
      </c>
      <c r="G4" s="3">
        <f t="shared" si="0"/>
        <v>2400</v>
      </c>
      <c r="H4" s="3">
        <f t="shared" si="3"/>
        <v>876000</v>
      </c>
      <c r="I4" s="3">
        <v>139</v>
      </c>
      <c r="J4" s="3">
        <f t="shared" si="1"/>
        <v>0.318145751953125</v>
      </c>
      <c r="K4" s="3">
        <f t="shared" si="2"/>
        <v>0.113401561975479</v>
      </c>
    </row>
    <row r="5" spans="1:11">
      <c r="A5" s="3" t="s">
        <v>16</v>
      </c>
      <c r="B5" s="3">
        <v>3418</v>
      </c>
      <c r="C5" s="3">
        <v>4</v>
      </c>
      <c r="D5" s="3">
        <v>8284</v>
      </c>
      <c r="E5" s="3" t="s">
        <v>14</v>
      </c>
      <c r="F5" s="3">
        <v>96</v>
      </c>
      <c r="G5" s="3">
        <f t="shared" si="0"/>
        <v>795264</v>
      </c>
      <c r="H5" s="3">
        <f t="shared" si="3"/>
        <v>290271360</v>
      </c>
      <c r="I5" s="3">
        <v>139</v>
      </c>
      <c r="J5" s="3">
        <f t="shared" si="1"/>
        <v>105.420776367187</v>
      </c>
      <c r="K5" s="3">
        <f t="shared" si="2"/>
        <v>37.5767415761948</v>
      </c>
    </row>
    <row r="6" spans="1:11">
      <c r="A6" s="3" t="s">
        <v>17</v>
      </c>
      <c r="B6" s="3">
        <v>50855</v>
      </c>
      <c r="C6" s="3">
        <v>1</v>
      </c>
      <c r="D6" s="3">
        <v>50855</v>
      </c>
      <c r="E6" s="3" t="s">
        <v>14</v>
      </c>
      <c r="F6" s="3">
        <v>96</v>
      </c>
      <c r="G6" s="3">
        <f t="shared" si="0"/>
        <v>4882080</v>
      </c>
      <c r="H6" s="3">
        <f t="shared" si="3"/>
        <v>1781959200</v>
      </c>
      <c r="I6" s="3">
        <v>139</v>
      </c>
      <c r="J6" s="3">
        <f t="shared" si="1"/>
        <v>647.172088623047</v>
      </c>
      <c r="K6" s="3">
        <f t="shared" si="2"/>
        <v>230.68145737052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2026-10-28T09:59:16Z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F83A1736B0C4461FA631CD3787528689_12</vt:lpwstr>
  </property>
</Properties>
</file>